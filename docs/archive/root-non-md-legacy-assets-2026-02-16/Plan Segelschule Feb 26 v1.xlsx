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9f8f3d24a25010c/Documents/Seglerverein/"/>
    </mc:Choice>
  </mc:AlternateContent>
  <xr:revisionPtr revIDLastSave="0" documentId="8_{DF09C3C8-1A86-49C5-9A3B-19A1BF17AF41}" xr6:coauthVersionLast="47" xr6:coauthVersionMax="47" xr10:uidLastSave="{00000000-0000-0000-0000-000000000000}"/>
  <bookViews>
    <workbookView xWindow="-110" yWindow="-110" windowWidth="18220" windowHeight="11620" xr2:uid="{70A3737D-2088-4B39-9164-76A9E1861D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2" i="1" l="1"/>
  <c r="G11" i="1"/>
  <c r="G10" i="1"/>
  <c r="G6" i="1"/>
  <c r="G7" i="1"/>
  <c r="G9" i="1"/>
  <c r="G8" i="1"/>
  <c r="G5" i="1"/>
  <c r="G4" i="1"/>
  <c r="G12" i="1" l="1"/>
  <c r="G33" i="1" s="1"/>
  <c r="G14" i="1" l="1"/>
</calcChain>
</file>

<file path=xl/sharedStrings.xml><?xml version="1.0" encoding="utf-8"?>
<sst xmlns="http://schemas.openxmlformats.org/spreadsheetml/2006/main" count="34" uniqueCount="32">
  <si>
    <t>Preis pp</t>
  </si>
  <si>
    <t>Max Umsatz Segelschule</t>
  </si>
  <si>
    <t xml:space="preserve"># Wochenenden </t>
  </si>
  <si>
    <t>Kurs</t>
  </si>
  <si>
    <t>B&amp;B</t>
  </si>
  <si>
    <t>Gruenderzuschuss minus Krankenkasse 2.500</t>
  </si>
  <si>
    <t>EINNAHMEN Segelschule und B&amp;B</t>
  </si>
  <si>
    <t xml:space="preserve">#Teilnehmer </t>
  </si>
  <si>
    <t xml:space="preserve"># 5 Tage </t>
  </si>
  <si>
    <t>Schnupperkurs</t>
  </si>
  <si>
    <t># 1/2 Tage</t>
  </si>
  <si>
    <t>Skipperjobs</t>
  </si>
  <si>
    <t>Kajak</t>
  </si>
  <si>
    <t>AUSGABEN Segelschule</t>
  </si>
  <si>
    <t>Liegeplatz Sommer</t>
  </si>
  <si>
    <t>Benzin Saison</t>
  </si>
  <si>
    <t>Kajak Exp</t>
  </si>
  <si>
    <t>Wartung Segelschiffe</t>
  </si>
  <si>
    <t>Haftpflichtversicherung Schiffe</t>
  </si>
  <si>
    <t>Liegeplatz inkl Handling Winter</t>
  </si>
  <si>
    <t>Mitglied DSV oder VDWS</t>
  </si>
  <si>
    <t>2 Schiffe Saison 2026</t>
  </si>
  <si>
    <t>Werbe Schaltungen (200 pm)</t>
  </si>
  <si>
    <t>Hosting Website (25 euro pm)</t>
  </si>
  <si>
    <t>Lehrer (extra) Honerare</t>
  </si>
  <si>
    <t>Flyer und Standgebuehren</t>
  </si>
  <si>
    <t>Gehalt Segellehrer/Inhaber</t>
  </si>
  <si>
    <t>(2000 brutto 6 Monate)</t>
  </si>
  <si>
    <t>Haftpflichtversicherung Lehrer</t>
  </si>
  <si>
    <t>KOSTEN BB 2026</t>
  </si>
  <si>
    <t>Brutto ueber</t>
  </si>
  <si>
    <t>(20 euro pp pro We)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</si>
</sst>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EBA55-751F-4949-AB7C-FE84DCA9C59B}">
  <dimension ref="A1:H33"/>
  <sheetViews>
    <sheetView tabSelected="1" topLeftCell="A8" workbookViewId="0">
      <selection activeCell="E30" sqref="E30"/>
    </sheetView>
  </sheetViews>
  <sheetFormatPr defaultRowHeight="14.5" x14ac:dyDescent="0.35"/>
  <cols>
    <col min="6" max="6" width="11.81640625" customWidth="1"/>
  </cols>
  <sheetData>
    <row r="1" spans="1:7" x14ac:dyDescent="0.35">
      <c r="A1" t="s">
        <v>6</v>
      </c>
    </row>
    <row r="2" spans="1:7" x14ac:dyDescent="0.35">
      <c r="B2" t="s">
        <v>10</v>
      </c>
      <c r="C2" t="s">
        <v>2</v>
      </c>
      <c r="D2" t="s">
        <v>8</v>
      </c>
      <c r="E2" t="s">
        <v>0</v>
      </c>
      <c r="F2" t="s">
        <v>7</v>
      </c>
      <c r="G2" t="s">
        <v>1</v>
      </c>
    </row>
    <row r="4" spans="1:7" x14ac:dyDescent="0.35">
      <c r="A4" t="s">
        <v>3</v>
      </c>
      <c r="C4">
        <v>14</v>
      </c>
      <c r="E4">
        <v>250</v>
      </c>
      <c r="F4">
        <v>6</v>
      </c>
      <c r="G4">
        <f>C4*E4*F4</f>
        <v>21000</v>
      </c>
    </row>
    <row r="5" spans="1:7" x14ac:dyDescent="0.35">
      <c r="A5" t="s">
        <v>3</v>
      </c>
      <c r="D5">
        <v>2</v>
      </c>
      <c r="E5">
        <v>600</v>
      </c>
      <c r="F5">
        <v>4</v>
      </c>
      <c r="G5">
        <f>D5*E5*F5</f>
        <v>4800</v>
      </c>
    </row>
    <row r="6" spans="1:7" x14ac:dyDescent="0.35">
      <c r="A6" t="s">
        <v>9</v>
      </c>
      <c r="B6">
        <v>5</v>
      </c>
      <c r="E6">
        <v>75</v>
      </c>
      <c r="F6">
        <v>2</v>
      </c>
      <c r="G6">
        <f>B6*E6*F6</f>
        <v>750</v>
      </c>
    </row>
    <row r="7" spans="1:7" x14ac:dyDescent="0.35">
      <c r="A7" t="s">
        <v>11</v>
      </c>
      <c r="D7">
        <v>2</v>
      </c>
      <c r="E7">
        <v>500</v>
      </c>
      <c r="F7">
        <v>1</v>
      </c>
      <c r="G7">
        <f>D7*E7*F7</f>
        <v>1000</v>
      </c>
    </row>
    <row r="8" spans="1:7" x14ac:dyDescent="0.35">
      <c r="A8" t="s">
        <v>4</v>
      </c>
      <c r="C8">
        <v>8</v>
      </c>
      <c r="E8">
        <v>130</v>
      </c>
      <c r="F8">
        <v>4</v>
      </c>
      <c r="G8">
        <f>C8*E8*F5</f>
        <v>4160</v>
      </c>
    </row>
    <row r="9" spans="1:7" x14ac:dyDescent="0.35">
      <c r="A9" t="s">
        <v>4</v>
      </c>
      <c r="D9">
        <v>4</v>
      </c>
      <c r="E9">
        <v>300</v>
      </c>
      <c r="F9">
        <v>3</v>
      </c>
      <c r="G9">
        <f>D9*E9*F9</f>
        <v>3600</v>
      </c>
    </row>
    <row r="10" spans="1:7" x14ac:dyDescent="0.35">
      <c r="A10" t="s">
        <v>12</v>
      </c>
      <c r="B10">
        <v>20</v>
      </c>
      <c r="E10">
        <v>40</v>
      </c>
      <c r="F10">
        <v>2</v>
      </c>
      <c r="G10">
        <f>B10*E10*F10</f>
        <v>1600</v>
      </c>
    </row>
    <row r="11" spans="1:7" x14ac:dyDescent="0.35">
      <c r="A11" t="s">
        <v>16</v>
      </c>
      <c r="B11">
        <v>4</v>
      </c>
      <c r="E11">
        <v>120</v>
      </c>
      <c r="F11">
        <v>4</v>
      </c>
      <c r="G11">
        <f>B11*E11*F11</f>
        <v>1920</v>
      </c>
    </row>
    <row r="12" spans="1:7" x14ac:dyDescent="0.35">
      <c r="G12">
        <f>SUM(G4:G11)</f>
        <v>38830</v>
      </c>
    </row>
    <row r="13" spans="1:7" x14ac:dyDescent="0.35">
      <c r="A13" t="s">
        <v>5</v>
      </c>
      <c r="G13" s="1">
        <v>15000</v>
      </c>
    </row>
    <row r="14" spans="1:7" x14ac:dyDescent="0.35">
      <c r="G14">
        <f>SUM(G12:G13)</f>
        <v>53830</v>
      </c>
    </row>
    <row r="16" spans="1:7" x14ac:dyDescent="0.35">
      <c r="A16" t="s">
        <v>13</v>
      </c>
    </row>
    <row r="17" spans="1:8" x14ac:dyDescent="0.35">
      <c r="A17" t="s">
        <v>21</v>
      </c>
    </row>
    <row r="19" spans="1:8" x14ac:dyDescent="0.35">
      <c r="A19" t="s">
        <v>14</v>
      </c>
      <c r="D19">
        <v>1500</v>
      </c>
    </row>
    <row r="20" spans="1:8" x14ac:dyDescent="0.35">
      <c r="A20" t="s">
        <v>19</v>
      </c>
      <c r="D20">
        <v>1200</v>
      </c>
    </row>
    <row r="21" spans="1:8" x14ac:dyDescent="0.35">
      <c r="A21" t="s">
        <v>15</v>
      </c>
      <c r="D21">
        <v>150</v>
      </c>
    </row>
    <row r="22" spans="1:8" x14ac:dyDescent="0.35">
      <c r="A22" t="s">
        <v>17</v>
      </c>
      <c r="D22">
        <v>2500</v>
      </c>
    </row>
    <row r="23" spans="1:8" x14ac:dyDescent="0.35">
      <c r="A23" t="s">
        <v>28</v>
      </c>
      <c r="D23">
        <v>250</v>
      </c>
    </row>
    <row r="24" spans="1:8" x14ac:dyDescent="0.35">
      <c r="A24" t="s">
        <v>18</v>
      </c>
      <c r="D24">
        <v>200</v>
      </c>
    </row>
    <row r="25" spans="1:8" x14ac:dyDescent="0.35">
      <c r="A25" t="s">
        <v>20</v>
      </c>
      <c r="D25">
        <v>150</v>
      </c>
    </row>
    <row r="26" spans="1:8" x14ac:dyDescent="0.35">
      <c r="A26" t="s">
        <v>24</v>
      </c>
      <c r="D26">
        <v>5000</v>
      </c>
      <c r="H26">
        <v>0</v>
      </c>
    </row>
    <row r="27" spans="1:8" x14ac:dyDescent="0.35">
      <c r="A27" t="s">
        <v>23</v>
      </c>
      <c r="D27">
        <v>300</v>
      </c>
    </row>
    <row r="28" spans="1:8" x14ac:dyDescent="0.35">
      <c r="A28" t="s">
        <v>22</v>
      </c>
      <c r="D28">
        <v>2400</v>
      </c>
    </row>
    <row r="29" spans="1:8" x14ac:dyDescent="0.35">
      <c r="A29" t="s">
        <v>25</v>
      </c>
      <c r="D29">
        <v>800</v>
      </c>
    </row>
    <row r="30" spans="1:8" x14ac:dyDescent="0.35">
      <c r="A30" t="s">
        <v>29</v>
      </c>
      <c r="D30">
        <v>620</v>
      </c>
      <c r="E30" t="s">
        <v>31</v>
      </c>
    </row>
    <row r="31" spans="1:8" x14ac:dyDescent="0.35">
      <c r="A31" t="s">
        <v>26</v>
      </c>
      <c r="D31">
        <v>12000</v>
      </c>
      <c r="E31" t="s">
        <v>27</v>
      </c>
    </row>
    <row r="32" spans="1:8" x14ac:dyDescent="0.35">
      <c r="D32">
        <f>SUM(D19:D31)</f>
        <v>27070</v>
      </c>
    </row>
    <row r="33" spans="1:7" x14ac:dyDescent="0.35">
      <c r="A33" t="s">
        <v>30</v>
      </c>
      <c r="G33">
        <f>G12-D32</f>
        <v>11760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Gerrit van Doorn</dc:creator>
  <cp:lastModifiedBy>Gerrit van Doorn</cp:lastModifiedBy>
  <dcterms:created xsi:type="dcterms:W3CDTF">2026-01-14T19:17:29Z</dcterms:created>
  <dcterms:modified xsi:type="dcterms:W3CDTF">2026-01-14T20:55:54Z</dcterms:modified>
</cp:coreProperties>
</file>